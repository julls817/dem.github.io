
<file path=[Content_Types].xml><?xml version="1.0" encoding="utf-8"?>
<Types xmlns="http://schemas.openxmlformats.org/package/2006/content-types">
  <Default ContentType="image/png" Extension="png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<sst xmlns="http://schemas.openxmlformats.org/spreadsheetml/2006/main" xmlns:a="http://schemas.openxmlformats.org/drawingml/2006/main" xmlns:a15="http://schemas.microsoft.com/office/drawing/2012/main" xmlns:asvg="http://schemas.microsoft.com/office/drawing/2016/SVG/main" xmlns:c="http://schemas.openxmlformats.org/drawingml/2006/chart" xmlns:co="http://ncloudtech.com" xmlns:co-ooxml="http://ncloudtech.com/ooxml" xmlns:m="http://schemas.openxmlformats.org/officeDocument/2006/math" xmlns:mc="http://schemas.openxmlformats.org/markup-compatibility/2006" xmlns:o="urn:schemas-microsoft-com:office:office" xmlns:p="http://schemas.openxmlformats.org/presentationml/2006/main" xmlns:pic="http://schemas.openxmlformats.org/drawingml/2006/picture" xmlns:r="http://schemas.openxmlformats.org/officeDocument/2006/relationships" xmlns:s="http://schemas.openxmlformats.org/officeDocument/2006/sharedTypes" xmlns:sl="http://schemas.openxmlformats.org/schemaLibrary/2006/main" xmlns:v="urn:schemas-microsoft-com:vml" xmlns:w="http://schemas.openxmlformats.org/wordprocessingml/2006/main" xmlns:w10="urn:schemas-microsoft-com:office:word" xmlns:w14="http://schemas.microsoft.com/office/word/2010/wordml" xmlns:w15="http://schemas.microsoft.com/office/word/2012/wordml" xmlns:wp="http://schemas.openxmlformats.org/drawingml/2006/wordprocessingDrawing" xmlns:wpg="http://schemas.microsoft.com/office/word/2010/wordprocessingGroup" xmlns:wps="http://schemas.microsoft.com/office/word/2010/wordprocessingShape" xmlns:x="urn:schemas-microsoft-com:office:excel" xmlns:x12ac="http://schemas.microsoft.com/office/spreadsheetml/2011/1/ac" xmlns:x14="http://schemas.microsoft.com/office/spreadsheetml/2009/9/main" xmlns:xdr="http://schemas.openxmlformats.org/drawingml/2006/spreadsheetDrawing" xmlns:xm="http://schemas.microsoft.com/office/excel/2006/main" mc:Ignorable="co co-ooxml w14 x14 w15">
  <si>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</si>
  <si>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</si>
  <si>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максимальный показатель</t>
  </si>
  <si>
    <t>сумма для 2</t>
  </si>
  <si>
    <t>сумма для 3</t>
  </si>
  <si>
    <t>статистичксмкая функция</t>
  </si>
  <si>
    <t>для А(лист3)</t>
  </si>
  <si>
    <t>Для В (лист3)</t>
  </si>
  <si>
    <t>Для С (лист3)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</si>
  <si>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</si>
  <si>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</si>
  <si>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</si>
  <si>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</si>
  <si>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</si>
  <si>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</si>
  <si>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колледж1</t>
  </si>
  <si>
    <t>колледж2</t>
  </si>
  <si>
    <t>колледж3</t>
  </si>
  <si>
    <t>колледж4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</si>
</sst>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styles.xml" Type="http://schemas.openxmlformats.org/officeDocument/2006/relationships/styles"/>
  <Relationship Id="rId4" Target="worksheets/sheet4.xml" Type="http://schemas.openxmlformats.org/officeDocument/2006/relationships/worksheet"/>
  <Relationship Id="rId9" Target="theme/theme1.xml" Type="http://schemas.openxmlformats.org/officeDocument/2006/relationships/theme"/>
  <Relationship Id="rId7" Target="sharedStrings.xml" Type="http://schemas.openxmlformats.org/officeDocument/2006/relationships/sharedStrings"/>
  <Relationship Id="rId5" Target="worksheets/sheet5.xml" Type="http://schemas.openxmlformats.org/officeDocument/2006/relationships/worksheet"/>
</Relationships>

</file>

<file path=xl/drawings/_rels/drawing1.xml.rels><?xml version="1.0" encoding="UTF-8" standalone="no" ?>
<Relationships xmlns="http://schemas.openxmlformats.org/package/2006/relationships">
  <Relationship Id="rId1" Target="../media/image1.png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6675" y="1485899"/>
    <xdr:ext cx="5685854" cy="3228631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2" min="2" outlineLevel="0" width="11.579130103511094"/>
  </cols>
  <sheetData>
    <row outlineLevel="0" r="1">
      <c r="A1" s="0" t="s">
        <v>2</v>
      </c>
      <c r="B1" s="0" t="s">
        <v>3</v>
      </c>
      <c r="C1" s="0" t="s">
        <v>4</v>
      </c>
    </row>
    <row outlineLevel="0" r="2">
      <c r="A2" s="0" t="n">
        <v>0</v>
      </c>
      <c r="B2" s="0" t="n">
        <f aca="false" ca="false" dt2D="false" dtr="false" t="normal">VLOOKUP(A2, 'Лист1'!A1:B25, 1, )</f>
        <v>0</v>
      </c>
      <c r="C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VLOOKUP(A2, 'Лист1'!A1:B25, 1, )</f>
        <v>0</v>
      </c>
      <c r="C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VLOOKUP(A4, 'Лист1'!A3:B27, 1, )</f>
        <v>2</v>
      </c>
      <c r="C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VLOOKUP(A4, 'Лист1'!A3:B27, 1, )</f>
        <v>2</v>
      </c>
      <c r="C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VLOOKUP(A6, 'Лист1'!A5:B29, 1, )</f>
        <v>4</v>
      </c>
      <c r="C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VLOOKUP(A6, 'Лист1'!A5:B29, 1, )</f>
        <v>4</v>
      </c>
      <c r="C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VLOOKUP(A8, 'Лист1'!A7:B31, 1, )</f>
        <v>6</v>
      </c>
      <c r="C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VLOOKUP(A8, 'Лист1'!A7:B31, 1, )</f>
        <v>6</v>
      </c>
      <c r="C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VLOOKUP(A10, 'Лист1'!A9:B33, 1, )</f>
        <v>8</v>
      </c>
      <c r="C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VLOOKUP(A10, 'Лист1'!A9:B33, 1, )</f>
        <v>8</v>
      </c>
      <c r="C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VLOOKUP(A12, 'Лист1'!A11:B35, 1, )</f>
        <v>10</v>
      </c>
      <c r="C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VLOOKUP(A12, 'Лист1'!A11:B35, 1, )</f>
        <v>10</v>
      </c>
      <c r="C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VLOOKUP(A14, 'Лист1'!A13:B37, 1, )</f>
        <v>12</v>
      </c>
      <c r="C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VLOOKUP(A14, 'Лист1'!A13:B37, 1, )</f>
        <v>12</v>
      </c>
      <c r="C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VLOOKUP(A16, 'Лист1'!A15:B39, 1, )</f>
        <v>14</v>
      </c>
      <c r="C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VLOOKUP(A16, 'Лист1'!A15:B39, 1, )</f>
        <v>14</v>
      </c>
      <c r="C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VLOOKUP(A18, 'Лист1'!A17:B41, 1, )</f>
        <v>16</v>
      </c>
      <c r="C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VLOOKUP(A18, 'Лист1'!A17:B41, 1, )</f>
        <v>16</v>
      </c>
      <c r="C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VLOOKUP(A20, 'Лист1'!A19:B43, 1, )</f>
        <v>18</v>
      </c>
      <c r="C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VLOOKUP(A20, 'Лист1'!A19:B43, 1, )</f>
        <v>18</v>
      </c>
      <c r="C21" s="0" t="n">
        <f aca="false" ca="false" dt2D="false" dtr="false" t="normal">(3^(A21+1)-1)/2</f>
        <v>1743392200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MAX('Лист3'!A2:A25)</f>
        <v>19</v>
      </c>
      <c r="C2" s="0" t="n">
        <f aca="false" ca="false" dt2D="false" dtr="false" t="normal">AVERAGE('Лист3'!B2:B25)</f>
        <v>9</v>
      </c>
      <c r="D2" s="0" t="n">
        <f aca="false" ca="false" dt2D="false" dtr="false" t="normal">AVERAGE('Лист3'!C2:C25)</f>
        <v>130754414.5</v>
      </c>
    </row>
    <row outlineLevel="0" r="3">
      <c r="A3" s="0" t="s">
        <v>10</v>
      </c>
      <c r="B3" s="0" t="n">
        <f aca="false" ca="false" dt2D="false" dtr="false" t="normal">MAX('Лист3'!B2:B25)</f>
        <v>18</v>
      </c>
      <c r="C3" s="0" t="n">
        <f aca="false" ca="false" dt2D="false" dtr="false" t="normal">AVERAGE('Лист3'!C2:C25)</f>
        <v>130754414.5</v>
      </c>
      <c r="D3" s="0" t="n">
        <f aca="false" ca="false" dt2D="false" dtr="false" t="normal">MAX('Лист3'!C2:C25)</f>
        <v>1743392200</v>
      </c>
    </row>
    <row outlineLevel="0" r="4">
      <c r="A4" s="0" t="s">
        <v>11</v>
      </c>
      <c r="B4" s="0" t="n">
        <f aca="false" ca="false" dt2D="false" dtr="false" t="normal">MAX('Лист3'!A4:A27)</f>
        <v>19</v>
      </c>
      <c r="C4" s="0" t="n">
        <f aca="false" ca="false" dt2D="false" dtr="false" t="normal">AVERAGE('Лист3'!B4:B27)</f>
        <v>10</v>
      </c>
      <c r="D4" s="0" t="n">
        <f aca="false" ca="false" dt2D="false" dtr="false" t="normal">AVERAGE('Лист3'!C4:C27)</f>
        <v>145282682.5</v>
      </c>
    </row>
    <row outlineLevel="0" r="5">
      <c r="A5" s="0" t="s">
        <v>12</v>
      </c>
      <c r="B5" s="0" t="n">
        <f aca="false" ca="false" dt2D="false" dtr="false" t="normal">MAX('Лист3'!B4:B27)</f>
        <v>18</v>
      </c>
      <c r="C5" s="0" t="n">
        <f aca="false" ca="false" dt2D="false" dtr="false" t="normal">AVERAGE('Лист3'!C4:C27)</f>
        <v>145282682.5</v>
      </c>
      <c r="D5" s="0" t="n">
        <f aca="false" ca="false" dt2D="false" dtr="false" t="normal">MAX('Лист3'!C4:C27)</f>
        <v>1743392200</v>
      </c>
    </row>
    <row outlineLevel="0" r="6">
      <c r="A6" s="0" t="s">
        <v>13</v>
      </c>
      <c r="B6" s="0" t="n">
        <f aca="false" ca="false" dt2D="false" dtr="false" t="normal">MAX('Лист3'!A6:A29)</f>
        <v>19</v>
      </c>
      <c r="C6" s="0" t="n">
        <f aca="false" ca="false" dt2D="false" dtr="false" t="normal">AVERAGE('Лист3'!B6:B29)</f>
        <v>11</v>
      </c>
      <c r="D6" s="0" t="n">
        <f aca="false" ca="false" dt2D="false" dtr="false" t="normal">AVERAGE('Лист3'!C6:C29)</f>
        <v>163443014.5</v>
      </c>
    </row>
    <row outlineLevel="0" r="7">
      <c r="A7" s="0" t="s">
        <v>14</v>
      </c>
      <c r="B7" s="0" t="n">
        <f aca="false" ca="false" dt2D="false" dtr="false" t="normal">MAX('Лист3'!B6:B29)</f>
        <v>18</v>
      </c>
      <c r="C7" s="0" t="n">
        <f aca="false" ca="false" dt2D="false" dtr="false" t="normal">AVERAGE('Лист3'!C6:C29)</f>
        <v>163443014.5</v>
      </c>
      <c r="D7" s="0" t="n">
        <f aca="false" ca="false" dt2D="false" dtr="false" t="normal">MAX('Лист3'!C6:C29)</f>
        <v>1743392200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</v>
      </c>
      <c r="C2" s="0" t="n">
        <v>2236476</v>
      </c>
      <c r="D2" s="0" t="n">
        <v>1934765</v>
      </c>
      <c r="E2" s="0" t="n">
        <v>3654654</v>
      </c>
      <c r="F2" s="0" t="n">
        <v>3211400</v>
      </c>
      <c r="G2" s="0" t="n">
        <v>1934765</v>
      </c>
      <c r="H2" s="0" t="n">
        <v>732647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4961201</v>
      </c>
      <c r="F3" s="0" t="n">
        <v>151000</v>
      </c>
      <c r="G3" s="0" t="n">
        <v>237800</v>
      </c>
      <c r="H3" s="0" t="n">
        <v>151000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1934765</v>
      </c>
      <c r="F4" s="0" t="n">
        <v>732647</v>
      </c>
      <c r="G4" s="0" t="n">
        <v>3654654</v>
      </c>
      <c r="H4" s="0" t="n">
        <v>1934765</v>
      </c>
    </row>
    <row outlineLevel="0" r="5">
      <c r="A5" s="0" t="s">
        <v>18</v>
      </c>
      <c r="B5" s="0" t="n">
        <v>4961201</v>
      </c>
      <c r="C5" s="0" t="n">
        <v>7844962</v>
      </c>
      <c r="D5" s="0" t="n">
        <v>6159094</v>
      </c>
      <c r="E5" s="0" t="n">
        <v>237800</v>
      </c>
      <c r="F5" s="0" t="n">
        <v>3211400</v>
      </c>
      <c r="G5" s="0" t="n">
        <v>151000</v>
      </c>
      <c r="H5" s="0" t="n">
        <v>4961201</v>
      </c>
    </row>
    <row outlineLevel="0" r="6">
      <c r="A6" s="0" t="n"/>
      <c r="B6" s="0" t="n"/>
      <c r="C6" s="0" t="n"/>
      <c r="D6" s="0" t="n"/>
      <c r="E6" s="0" t="n"/>
      <c r="F6" s="0" t="n"/>
      <c r="G6" s="0" t="n"/>
      <c r="H6" s="0" t="n"/>
    </row>
    <row outlineLevel="0" r="11">
      <c r="E11" s="0" t="n"/>
      <c r="F11" s="0" t="n"/>
      <c r="G11" s="0" t="n"/>
      <c r="H11" s="0" t="n"/>
    </row>
    <row outlineLevel="0" r="12">
      <c r="E12" s="0" t="n"/>
      <c r="F12" s="0" t="n"/>
      <c r="G12" s="0" t="n"/>
      <c r="H12" s="0" t="n"/>
    </row>
    <row outlineLevel="0" r="13">
      <c r="E13" s="0" t="n"/>
      <c r="F13" s="0" t="n"/>
      <c r="G13" s="0" t="n"/>
      <c r="H13" s="0" t="n"/>
    </row>
    <row outlineLevel="0" r="14">
      <c r="E14" s="0" t="n"/>
      <c r="F14" s="0" t="n"/>
      <c r="G14" s="0" t="n"/>
      <c r="H14" s="0" t="n"/>
    </row>
    <row outlineLevel="0" r="15">
      <c r="H15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2026-05-21T06:49:38Z</dcterms:created>
  <dcterms:modified xsi:type="dcterms:W3CDTF">2026-05-21T06:49:38Z</dcterms:modified>
</cp:coreProperties>
</file>